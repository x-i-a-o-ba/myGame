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6c3e56b8d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查询" sheetId="1" r:id="Rec242373f3df4bb5"/>
    <x:sheet xmlns:r="http://schemas.openxmlformats.org/officeDocument/2006/relationships" name="英雄" sheetId="2" r:id="R56a5573efccb4c32"/>
    <x:sheet xmlns:r="http://schemas.openxmlformats.org/officeDocument/2006/relationships" name="技能" sheetId="3" r:id="R5e22f52ff70b4cb8"/>
    <x:sheet xmlns:r="http://schemas.openxmlformats.org/officeDocument/2006/relationships" name="怪物" sheetId="4" r:id="Rbede2684a85346cc"/>
    <x:sheet xmlns:r="http://schemas.openxmlformats.org/officeDocument/2006/relationships" name="英雄技能装配" sheetId="5" r:id="Ra270f18e1ea64616"/>
    <x:sheet xmlns:r="http://schemas.openxmlformats.org/officeDocument/2006/relationships" name="技能阶段" sheetId="6" r:id="Rac19fb5d57b0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sz val="11"/>
      <x:color rgb="FF253247"/>
      <x:name val="Arial"/>
    </x:font>
    <x:font>
      <x:b/>
      <x:sz val="16"/>
      <x:color rgb="FF243B63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1F5CA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3"/>
      </x:patternFill>
    </x:fill>
    <x:fill>
      <x:patternFill patternType="solid">
        <x:fgColor rgb="FFF1F5F9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daf7e6d554610" /><Relationship Type="http://schemas.openxmlformats.org/officeDocument/2006/relationships/theme" Target="/xl/theme/theme1.xml" Id="Rb8999e9899c044b7" /><Relationship Type="http://schemas.openxmlformats.org/officeDocument/2006/relationships/sharedStrings" Target="/xl/sharedStrings.xml" Id="R10f603bc15714f8c" /><Relationship Type="http://schemas.openxmlformats.org/officeDocument/2006/relationships/worksheet" Target="/xl/worksheets/sheet1.xml" Id="Rec242373f3df4bb5" /><Relationship Type="http://schemas.openxmlformats.org/officeDocument/2006/relationships/worksheet" Target="/xl/worksheets/sheet2.xml" Id="R56a5573efccb4c32" /><Relationship Type="http://schemas.openxmlformats.org/officeDocument/2006/relationships/worksheet" Target="/xl/worksheets/sheet3.xml" Id="R5e22f52ff70b4cb8" /><Relationship Type="http://schemas.openxmlformats.org/officeDocument/2006/relationships/worksheet" Target="/xl/worksheets/sheet4.xml" Id="Rbede2684a85346cc" /><Relationship Type="http://schemas.openxmlformats.org/officeDocument/2006/relationships/worksheet" Target="/xl/worksheets/sheet5.xml" Id="Ra270f18e1ea64616" /><Relationship Type="http://schemas.openxmlformats.org/officeDocument/2006/relationships/worksheet" Target="/xl/worksheets/sheet6.xml" Id="Rac19fb5d57b04537" /></Relationships>
</file>

<file path=xl/tables/table1.xml><?xml version="1.0" encoding="utf-8"?>
<x:table xmlns:x="http://schemas.openxmlformats.org/spreadsheetml/2006/main" id="1" name="Config1" displayName="Config1" ref="A5:J7" headerRowCount="1" totalsRowCount="0" totalsRowShown="0">
  <x:autoFilter ref="A5:J7"/>
  <x:tableColumns count="10">
    <x:tableColumn id="1" name="英雄ID"/>
    <x:tableColumn id="2" name="英雄名称"/>
    <x:tableColumn id="3" name="用途"/>
    <x:tableColumn id="4" name="基础生命"/>
    <x:tableColumn id="5" name="移动速度&#10;单位/秒"/>
    <x:tableColumn id="6" name="普攻伤害"/>
    <x:tableColumn id="7" name="普攻间隔&#10;秒"/>
    <x:tableColumn id="8" name="普攻距离&#10;Unity单位"/>
    <x:tableColumn id="9" name="资源路径"/>
    <x:tableColumn id="10" name="ID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2" displayName="Config2" ref="A5:Q13" headerRowCount="1" totalsRowCount="0" totalsRowShown="0">
  <x:autoFilter ref="A5:Q13"/>
  <x:tableColumns count="17">
    <x:tableColumn id="1" name="技能ID"/>
    <x:tableColumn id="2" name="技能名称"/>
    <x:tableColumn id="3" name="用途"/>
    <x:tableColumn id="4" name="瞄准方式"/>
    <x:tableColumn id="5" name="施法距离&#10;Unity单位"/>
    <x:tableColumn id="6" name="冷却&#10;秒"/>
    <x:tableColumn id="7" name="前摇&#10;秒"/>
    <x:tableColumn id="8" name="后摇&#10;秒"/>
    <x:tableColumn id="9" name="资源消耗"/>
    <x:tableColumn id="10" name="最大充能"/>
    <x:tableColumn id="11" name="充能恢复&#10;秒；0用冷却"/>
    <x:tableColumn id="12" name="普攻命中要求"/>
    <x:tableColumn id="13" name="组合阶段数"/>
    <x:tableColumn id="14" name="资源路径"/>
    <x:tableColumn id="15" name="旧模型类型"/>
    <x:tableColumn id="16" name="旧模型效果"/>
    <x:tableColumn id="17" name="ID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Config3" displayName="Config3" ref="A5:J6" headerRowCount="1" totalsRowCount="0" totalsRowShown="0">
  <x:autoFilter ref="A5:J6"/>
  <x:tableColumns count="10">
    <x:tableColumn id="1" name="怪物ID"/>
    <x:tableColumn id="2" name="怪物名称"/>
    <x:tableColumn id="3" name="用途"/>
    <x:tableColumn id="4" name="基础生命"/>
    <x:tableColumn id="5" name="移动速度&#10;单位/秒"/>
    <x:tableColumn id="6" name="攻击伤害"/>
    <x:tableColumn id="7" name="攻击间隔&#10;秒"/>
    <x:tableColumn id="8" name="攻击距离&#10;Unity单位"/>
    <x:tableColumn id="9" name="配置来源"/>
    <x:tableColumn id="10" name="ID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onfig4" displayName="Config4" ref="A5:G13" headerRowCount="1" totalsRowCount="0" totalsRowShown="0">
  <x:autoFilter ref="A5:G13"/>
  <x:tableColumns count="7">
    <x:tableColumn id="1" name="英雄ID"/>
    <x:tableColumn id="2" name="英雄名称（查表）"/>
    <x:tableColumn id="3" name="槽位序号"/>
    <x:tableColumn id="4" name="默认输入"/>
    <x:tableColumn id="5" name="技能ID"/>
    <x:tableColumn id="6" name="技能名称（查表）"/>
    <x:tableColumn id="7" name="引用检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5" displayName="Config5" ref="A5:T10" headerRowCount="1" totalsRowCount="0" totalsRowShown="0">
  <x:autoFilter ref="A5:T10"/>
  <x:tableColumns count="20">
    <x:tableColumn id="1" name="技能ID"/>
    <x:tableColumn id="2" name="阶段序号"/>
    <x:tableColumn id="3" name="释放后延迟&#10;秒"/>
    <x:tableColumn id="4" name="执行次数"/>
    <x:tableColumn id="5" name="重复间隔&#10;秒"/>
    <x:tableColumn id="6" name="投递方式"/>
    <x:tableColumn id="7" name="目标范围"/>
    <x:tableColumn id="8" name="区域形状"/>
    <x:tableColumn id="9" name="目标关系"/>
    <x:tableColumn id="10" name="长度&#10;Unity单位"/>
    <x:tableColumn id="11" name="半径或半宽&#10;Unity单位"/>
    <x:tableColumn id="12" name="碰撞半径&#10;Unity单位"/>
    <x:tableColumn id="13" name="扇形半角&#10;度"/>
    <x:tableColumn id="14" name="飞行速度&#10;单位/秒"/>
    <x:tableColumn id="15" name="弧高&#10;Unity单位"/>
    <x:tableColumn id="16" name="飞行时长&#10;秒"/>
    <x:tableColumn id="17" name="发射高度&#10;Unity单位"/>
    <x:tableColumn id="18" name="落点高度&#10;Unity单位"/>
    <x:tableColumn id="19" name="范围效果（按顺序）"/>
    <x:tableColumn id="20" name="首碰效果（按顺序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95762e1c7e4d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e787b7325c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75ce039e6c40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babe5ec65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d8a57adc1141c2" /></Relationships>
</file>

<file path=xl/worksheets/sheet1.xml><?xml version="1.0" encoding="utf-8"?>
<x:worksheet xmlns:x="http://schemas.openxmlformats.org/spreadsheetml/2006/main">
  <x:sheetPr>
    <x:tabColor rgb="FF243B63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2" t="str">
        <x:v>英雄、技能与怪物配置目录</x:v>
      </x:c>
      <x:c r="B1" s="1"/>
    </x:row>
    <x:row r="2" ht="28" customHeight="1">
      <x:c r="A2" s="1"/>
      <x:c r="B2" s="1"/>
    </x:row>
    <x:row r="3" ht="28" customHeight="1">
      <x:c r="A3" s="1" t="str">
        <x:v>快照日期</x:v>
      </x:c>
      <x:c r="B3" s="1" t="str">
        <x:v>2026-10-22</x:v>
      </x:c>
    </x:row>
    <x:row r="4" ht="36" customHeight="1">
      <x:c r="A4" s="1" t="str">
        <x:v>输入数字ID</x:v>
      </x:c>
      <x:c r="B4" s="16" t="n">
        <x:v>1003</x:v>
      </x:c>
    </x:row>
    <x:row r="5" ht="28" customHeight="1">
      <x:c r="A5" s="1"/>
      <x:c r="B5" s="1"/>
    </x:row>
    <x:row r="6" ht="28" customHeight="1">
      <x:c r="A6" s="1" t="str">
        <x:v>匹配数量</x:v>
      </x:c>
      <x:c r="B6" s="17" t="n">
        <x:f>IF(B4="",0,IF(NOT(ISNUMBER(B4)),0,IF(AND(ISNUMBER(B4),B4&gt;=1000,B4&lt;=3999,MOD(B4,1)=0),COUNTIFS('英雄'!$A$6:$A$1005,B4)+COUNTIFS('技能'!$A$6:$A$1005,B4)+COUNTIFS('怪物'!$A$6:$A$1005,B4),0)))</x:f>
        <x:v>1</x:v>
      </x:c>
    </x:row>
    <x:row r="7" ht="28" customHeight="1">
      <x:c r="A7" s="1" t="str">
        <x:v>类型</x:v>
      </x:c>
      <x:c r="B7" s="17" t="str">
        <x:f>IF(B4="","请输入ID",IF(NOT(ISNUMBER(B4)),"请输入数字整数",IF(NOT(AND(ISNUMBER(B4),B4&gt;=1000,B4&lt;=3999,MOD(B4,1)=0)),"编号越界或非整数",IF(B6=0,"未找到",IF(B6&gt;1,"ID重复",IF(COUNTIFS('英雄'!$A$6:$A$1005,B4)=1,"英雄",IF(COUNTIFS('技能'!$A$6:$A$1005,B4)=1,"技能","怪物")))))))</x:f>
        <x:v>技能</x:v>
      </x:c>
    </x:row>
    <x:row r="8" ht="28" customHeight="1">
      <x:c r="A8" s="1" t="str">
        <x:v>名称</x:v>
      </x:c>
      <x:c r="B8" s="17" t="str">
        <x:f>IF(B6&lt;&gt;1,"请检查输入或重复ID",IF(B7="英雄",INDEX('英雄'!$B$6:$B$1005,MATCH(B4,'英雄'!$A$6:$A$1005,0)),IF(B7="技能",INDEX('技能'!$B$6:$B$1005,MATCH(B4,'技能'!$A$6:$A$1005,0)),INDEX('怪物'!$B$6:$B$1005,MATCH(B4,'怪物'!$A$6:$A$1005,0)))))</x:f>
        <x:v>冰晶巨箭</x:v>
      </x:c>
    </x:row>
    <x:row r="9" ht="28" customHeight="1">
      <x:c r="A9" s="1" t="str">
        <x:v>用途</x:v>
      </x:c>
      <x:c r="B9" s="17" t="str">
        <x:f>IF(B6&lt;&gt;1,"请检查输入或重复ID",IF(B7="英雄",INDEX('英雄'!$C$6:$C$1005,MATCH(B4,'英雄'!$A$6:$A$1005,0)),IF(B7="技能",INDEX('技能'!$C$6:$C$1005,MATCH(B4,'技能'!$A$6:$A$1005,0)),INDEX('怪物'!$C$6:$C$1005,MATCH(B4,'怪物'!$A$6:$A$1005,0)))))</x:f>
        <x:v>正式配置</x:v>
      </x:c>
    </x:row>
    <x:row r="10" ht="44" customHeight="1">
      <x:c r="A10" s="1" t="str">
        <x:v>Unity配置来源</x:v>
      </x:c>
      <x:c r="B10" s="18" t="str">
        <x:f>IF(B6&lt;&gt;1,"请检查输入或重复ID",IF(B7="英雄",INDEX('英雄'!$I$6:$I$1005,MATCH(B4,'英雄'!$A$6:$A$1005,0)),IF(B7="技能",INDEX('技能'!$N$6:$N$1005,MATCH(B4,'技能'!$A$6:$A$1005,0)),INDEX('怪物'!$I$6:$I$1005,MATCH(B4,'怪物'!$A$6:$A$1005,0)))))</x:f>
        <x:v>Assets/GameData/技能/1003_冰晶巨箭.asset</x:v>
      </x:c>
    </x:row>
    <x:row r="11" ht="28" customHeight="1">
      <x:c r="A11" s="1"/>
      <x:c r="B11" s="1"/>
    </x:row>
    <x:row r="12" ht="28" customHeight="1">
      <x:c r="A12" s="1"/>
      <x:c r="B12" s="1"/>
    </x:row>
    <x:row r="13" ht="42" customHeight="1">
      <x:c r="A13" s="1" t="str">
        <x:v>使用方式</x:v>
      </x:c>
      <x:c r="B13" s="19" t="str">
        <x:v>筛选“英雄技能装配”的英雄ID，可查看该英雄每个槽位对应的技能ID。</x:v>
      </x:c>
    </x:row>
    <x:row r="14" ht="42" customHeight="1">
      <x:c r="A14" s="1" t="str">
        <x:v>编号规则</x:v>
      </x:c>
      <x:c r="B14" s="19" t="str">
        <x:v>技能 1000～1999，英雄 2000～2999，怪物 3000～3999。使用整数，不复用、不随名称修改。</x:v>
      </x:c>
    </x:row>
    <x:row r="15" ht="42" customHeight="1">
      <x:c r="A15" s="1" t="str">
        <x:v>已有编号</x:v>
      </x:c>
      <x:c r="B15" s="19" t="str">
        <x:v>1000 冰霜专注，1001 冰霜扇击，1002 冰霜冲击，1003 冰晶巨箭。2000 寒冰射手，3000 普通怪物。</x:v>
      </x:c>
    </x:row>
    <x:row r="16" ht="42" customHeight="1">
      <x:c r="A16" s="1" t="str">
        <x:v>关系规则</x:v>
      </x:c>
      <x:c r="B16" s="19" t="str">
        <x:v>英雄、技能各一行；装配以“英雄ID + 槽位序号”为键。同一技能可被多个英雄引用。</x:v>
      </x:c>
    </x:row>
    <x:row r="17" ht="42" customHeight="1">
      <x:c r="A17" s="1" t="str">
        <x:v>填写与扩展</x:v>
      </x:c>
      <x:c r="B17" s="19" t="str">
        <x:v>先登记新编号，再在对应表末尾追加记录并复制检查公式。查询覆盖第6～1005行，编号段用满后先扩展编号规则。</x:v>
      </x:c>
    </x:row>
    <x:row r="18" ht="42" customHeight="1">
      <x:c r="A18" s="1" t="str">
        <x:v>生效方式</x:v>
      </x:c>
      <x:c r="B18" s="19" t="str">
        <x:v>Excel 为设计文档，修改不会自动写回 Unity。当前运行数据仍以 Unity 配置资源为准。</x:v>
      </x:c>
    </x:row>
    <x:row r="19" ht="42" customHeight="1">
      <x:c r="A19" s="1" t="str">
        <x:v>时间与单位</x:v>
      </x:c>
      <x:c r="B19" s="19" t="str">
        <x:v>距离为 Unity 世界单位，时间为秒。前摇结束后释放；阶段延迟从释放点算，后摇不等待飞行。</x:v>
      </x:c>
    </x:row>
    <x:row r="20" ht="42" customHeight="1">
      <x:c r="A20" s="1" t="str">
        <x:v>阶段字段</x:v>
      </x:c>
      <x:c r="B20" s="19" t="str">
        <x:v>只使用与当前目标、形状、投递方式相关的字段。自带默认值不代表所有字段同时生效。</x:v>
      </x:c>
    </x:row>
    <x:row r="21" ht="42" customHeight="1">
      <x:c r="A21" s="1" t="str">
        <x:v>历史示例</x:v>
      </x:c>
      <x:c r="B21" s="19" t="str">
        <x:v>组合阶段数为0的历史技能使用旧模型效果；尚未归属英雄的技能也保留在技能总表。</x:v>
      </x:c>
    </x:row>
    <x:row r="22" ht="28" customHeight="1">
      <x:c r="A22" s="1"/>
      <x:c r="B22" s="1"/>
    </x:row>
    <x:row r="23" ht="28" customHeight="1">
      <x:c r="A23" s="1" t="str">
        <x:v>配置统计</x:v>
      </x:c>
      <x:c r="B23" s="1" t="str">
        <x:v>2 个英雄，8 个技能，1 种怪物，8 条装配，5 个阶段</x:v>
      </x:c>
    </x:row>
    <x:row r="24" ht="28" customHeight="1">
      <x:c r="A24" s="1"/>
      <x:c r="B24" s="1"/>
    </x:row>
  </x:sheetData>
  <x:dataValidations count="1">
    <x:dataValidation type="whole" operator="between" sqref="B4">
      <x:formula1>1000</x:formula1>
      <x:formula2>3999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66" hidden="0" customWidth="1"/>
    <x:col min="10" max="10" width="18" hidden="0" customWidth="1"/>
  </x:cols>
  <x:sheetData>
    <x:row r="1">
      <x:c r="A1" s="2" t="str">
        <x:v>英雄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源自已保存的 Unity 配置，2026-10-22；Excel 是快照，修改 GameData 后重新导出。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英雄ID</x:v>
      </x:c>
      <x:c r="B5" s="7" t="str">
        <x:v>英雄名称</x:v>
      </x:c>
      <x:c r="C5" s="7" t="str">
        <x:v>用途</x:v>
      </x:c>
      <x:c r="D5" s="7" t="str">
        <x:v>基础生命</x:v>
      </x:c>
      <x:c r="E5" s="7" t="str">
        <x:v>移动速度
单位/秒</x:v>
      </x:c>
      <x:c r="F5" s="7" t="str">
        <x:v>普攻伤害</x:v>
      </x:c>
      <x:c r="G5" s="7" t="str">
        <x:v>普攻间隔
秒</x:v>
      </x:c>
      <x:c r="H5" s="7" t="str">
        <x:v>普攻距离
Unity单位</x:v>
      </x:c>
      <x:c r="I5" s="7" t="str">
        <x:v>资源路径</x:v>
      </x:c>
      <x:c r="J5" s="7" t="str">
        <x:v>ID检查</x:v>
      </x:c>
    </x:row>
    <x:row r="6" ht="32" customHeight="1">
      <x:c r="A6" s="11" t="n">
        <x:v>2000</x:v>
      </x:c>
      <x:c r="B6" s="10" t="str">
        <x:v>寒冰射手</x:v>
      </x:c>
      <x:c r="C6" s="10" t="str">
        <x:v>正式配置</x:v>
      </x:c>
      <x:c r="D6" s="11" t="n">
        <x:v>340</x:v>
      </x:c>
      <x:c r="E6" s="10" t="n">
        <x:v>10</x:v>
      </x:c>
      <x:c r="F6" s="11" t="n">
        <x:v>30</x:v>
      </x:c>
      <x:c r="G6" s="10" t="n">
        <x:v>0.11999999731779099</x:v>
      </x:c>
      <x:c r="H6" s="10" t="n">
        <x:v>20</x:v>
      </x:c>
      <x:c r="I6" s="12" t="str">
        <x:v>Assets/GameData/英雄/2000_寒冰射手.asset</x:v>
      </x:c>
      <x:c r="J6" s="13" t="str">
        <x:f>IF(A6="","缺少ID",IF(NOT(ISNUMBER(A6)),"需数字整数",IF(NOT(AND(ISNUMBER(A6),A6&gt;=2000,A6&lt;=2999,MOD(A6,1)=0)),"编号越界或非整数",IF(COUNTIFS('英雄'!$A$6:$A$1005,A6)+COUNTIFS('技能'!$A$6:$A$1005,A6)+COUNTIFS('怪物'!$A$6:$A$1005,A6)=1,"唯一","ID重复"))))</x:f>
        <x:v>唯一</x:v>
      </x:c>
    </x:row>
    <x:row r="7" ht="32" customHeight="1">
      <x:c r="A7" s="11" t="n">
        <x:v>2001</x:v>
      </x:c>
      <x:c r="B7" s="10" t="str">
        <x:v>寒冰射手·换槽配置示例</x:v>
      </x:c>
      <x:c r="C7" s="10" t="str">
        <x:v>换槽示例</x:v>
      </x:c>
      <x:c r="D7" s="11" t="n">
        <x:v>340</x:v>
      </x:c>
      <x:c r="E7" s="10" t="n">
        <x:v>10</x:v>
      </x:c>
      <x:c r="F7" s="11" t="n">
        <x:v>30</x:v>
      </x:c>
      <x:c r="G7" s="10" t="n">
        <x:v>0.11999999731779099</x:v>
      </x:c>
      <x:c r="H7" s="10" t="n">
        <x:v>20</x:v>
      </x:c>
      <x:c r="I7" s="12" t="str">
        <x:v>Assets/GameData/编辑示例/换槽/2001_寒冰射手·换槽示例.asset</x:v>
      </x:c>
      <x:c r="J7" s="13" t="str">
        <x:f>IF(A7="","缺少ID",IF(NOT(ISNUMBER(A7)),"需数字整数",IF(NOT(AND(ISNUMBER(A7),A7&gt;=2000,A7&lt;=2999,MOD(A7,1)=0)),"编号越界或非整数",IF(COUNTIFS('英雄'!$A$6:$A$1005,A7)+COUNTIFS('技能'!$A$6:$A$1005,A7)+COUNTIFS('怪物'!$A$6:$A$1005,A7)=1,"唯一","ID重复"))))</x:f>
        <x:v>唯一</x:v>
      </x:c>
    </x:row>
  </x:sheetData>
  <x:conditionalFormatting sqref="J6:J7">
    <x:cfRule type="notContainsText" dxfId="0" priority="1" text="唯一"/>
  </x:conditionalFormatting>
  <x:dataValidations count="1">
    <x:dataValidation type="whole" operator="between" sqref="A6:A1005">
      <x:formula1>2000</x:formula1>
      <x:formula2>2999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095762e1c7e4d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5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66" hidden="0" customWidth="1"/>
    <x:col min="15" max="15" width="18" hidden="0" customWidth="1"/>
    <x:col min="16" max="16" width="56" hidden="0" customWidth="1"/>
    <x:col min="17" max="17" width="18" hidden="0" customWidth="1"/>
  </x:cols>
  <x:sheetData>
    <x:row r="1">
      <x:c r="A1" s="2" t="str">
        <x:v>技能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 t="str">
        <x:v>源自已保存的 Unity 配置，2026-10-22；Excel 是快照，修改 GameData 后重新导出。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7" t="str">
        <x:v>技能ID</x:v>
      </x:c>
      <x:c r="B5" s="7" t="str">
        <x:v>技能名称</x:v>
      </x:c>
      <x:c r="C5" s="7" t="str">
        <x:v>用途</x:v>
      </x:c>
      <x:c r="D5" s="7" t="str">
        <x:v>瞄准方式</x:v>
      </x:c>
      <x:c r="E5" s="7" t="str">
        <x:v>施法距离
Unity单位</x:v>
      </x:c>
      <x:c r="F5" s="7" t="str">
        <x:v>冷却
秒</x:v>
      </x:c>
      <x:c r="G5" s="7" t="str">
        <x:v>前摇
秒</x:v>
      </x:c>
      <x:c r="H5" s="7" t="str">
        <x:v>后摇
秒</x:v>
      </x:c>
      <x:c r="I5" s="7" t="str">
        <x:v>资源消耗</x:v>
      </x:c>
      <x:c r="J5" s="7" t="str">
        <x:v>最大充能</x:v>
      </x:c>
      <x:c r="K5" s="7" t="str">
        <x:v>充能恢复
秒；0用冷却</x:v>
      </x:c>
      <x:c r="L5" s="7" t="str">
        <x:v>普攻命中要求</x:v>
      </x:c>
      <x:c r="M5" s="7" t="str">
        <x:v>组合阶段数</x:v>
      </x:c>
      <x:c r="N5" s="7" t="str">
        <x:v>资源路径</x:v>
      </x:c>
      <x:c r="O5" s="7" t="str">
        <x:v>旧模型类型</x:v>
      </x:c>
      <x:c r="P5" s="7" t="str">
        <x:v>旧模型效果</x:v>
      </x:c>
      <x:c r="Q5" s="7" t="str">
        <x:v>ID检查</x:v>
      </x:c>
    </x:row>
    <x:row r="6" ht="32" customHeight="1">
      <x:c r="A6" s="11" t="n">
        <x:v>1000</x:v>
      </x:c>
      <x:c r="B6" s="10" t="str">
        <x:v>冰霜专注</x:v>
      </x:c>
      <x:c r="C6" s="10" t="str">
        <x:v>正式配置</x:v>
      </x:c>
      <x:c r="D6" s="10" t="str">
        <x:v>自身</x:v>
      </x:c>
      <x:c r="E6" s="10" t="n">
        <x:v>0</x:v>
      </x:c>
      <x:c r="F6" s="10" t="n">
        <x:v>10</x:v>
      </x:c>
      <x:c r="G6" s="10" t="n">
        <x:v>0</x:v>
      </x:c>
      <x:c r="H6" s="10" t="n">
        <x:v>0</x:v>
      </x:c>
      <x:c r="I6" s="10" t="n">
        <x:v>20</x:v>
      </x:c>
      <x:c r="J6" s="11" t="n">
        <x:v>1</x:v>
      </x:c>
      <x:c r="K6" s="10" t="n">
        <x:v>0</x:v>
      </x:c>
      <x:c r="L6" s="11" t="n">
        <x:v>4</x:v>
      </x:c>
      <x:c r="M6" s="11" t="n">
        <x:v>1</x:v>
      </x:c>
      <x:c r="N6" s="12" t="str">
        <x:v>Assets/GameData/技能/1000_冰霜专注.asset</x:v>
      </x:c>
      <x:c r="O6" s="12"/>
      <x:c r="P6" s="12"/>
      <x:c r="Q6" s="13" t="str">
        <x:f>IF(A6="","缺少ID",IF(NOT(ISNUMBER(A6)),"需数字整数",IF(NOT(AND(ISNUMBER(A6),A6&gt;=1000,A6&lt;=1999,MOD(A6,1)=0)),"编号越界或非整数",IF(COUNTIFS('英雄'!$A$6:$A$1005,A6)+COUNTIFS('技能'!$A$6:$A$1005,A6)+COUNTIFS('怪物'!$A$6:$A$1005,A6)=1,"唯一","ID重复"))))</x:f>
        <x:v>唯一</x:v>
      </x:c>
    </x:row>
    <x:row r="7" ht="32" customHeight="1">
      <x:c r="A7" s="11" t="n">
        <x:v>1001</x:v>
      </x:c>
      <x:c r="B7" s="10" t="str">
        <x:v>冰霜扇击</x:v>
      </x:c>
      <x:c r="C7" s="10" t="str">
        <x:v>正式配置</x:v>
      </x:c>
      <x:c r="D7" s="10" t="str">
        <x:v>方向</x:v>
      </x:c>
      <x:c r="E7" s="10" t="n">
        <x:v>22</x:v>
      </x:c>
      <x:c r="F7" s="10" t="n">
        <x:v>8</x:v>
      </x:c>
      <x:c r="G7" s="10" t="n">
        <x:v>0</x:v>
      </x:c>
      <x:c r="H7" s="10" t="n">
        <x:v>0</x:v>
      </x:c>
      <x:c r="I7" s="10" t="n">
        <x:v>35</x:v>
      </x:c>
      <x:c r="J7" s="11" t="n">
        <x:v>1</x:v>
      </x:c>
      <x:c r="K7" s="10" t="n">
        <x:v>0</x:v>
      </x:c>
      <x:c r="L7" s="11" t="n">
        <x:v>0</x:v>
      </x:c>
      <x:c r="M7" s="11" t="n">
        <x:v>1</x:v>
      </x:c>
      <x:c r="N7" s="12" t="str">
        <x:v>Assets/GameData/技能/1001_冰霜扇击.asset</x:v>
      </x:c>
      <x:c r="O7" s="12"/>
      <x:c r="P7" s="12"/>
      <x:c r="Q7" s="13" t="str">
        <x:f>IF(A7="","缺少ID",IF(NOT(ISNUMBER(A7)),"需数字整数",IF(NOT(AND(ISNUMBER(A7),A7&gt;=1000,A7&lt;=1999,MOD(A7,1)=0)),"编号越界或非整数",IF(COUNTIFS('英雄'!$A$6:$A$1005,A7)+COUNTIFS('技能'!$A$6:$A$1005,A7)+COUNTIFS('怪物'!$A$6:$A$1005,A7)=1,"唯一","ID重复"))))</x:f>
        <x:v>唯一</x:v>
      </x:c>
    </x:row>
    <x:row r="8" ht="32" customHeight="1">
      <x:c r="A8" s="11" t="n">
        <x:v>1002</x:v>
      </x:c>
      <x:c r="B8" s="10" t="str">
        <x:v>冰霜冲击</x:v>
      </x:c>
      <x:c r="C8" s="10" t="str">
        <x:v>正式配置</x:v>
      </x:c>
      <x:c r="D8" s="10" t="str">
        <x:v>目标点</x:v>
      </x:c>
      <x:c r="E8" s="10" t="n">
        <x:v>25</x:v>
      </x:c>
      <x:c r="F8" s="10" t="n">
        <x:v>0</x:v>
      </x:c>
      <x:c r="G8" s="10" t="n">
        <x:v>0</x:v>
      </x:c>
      <x:c r="H8" s="10" t="n">
        <x:v>0</x:v>
      </x:c>
      <x:c r="I8" s="10" t="n">
        <x:v>50</x:v>
      </x:c>
      <x:c r="J8" s="11" t="n">
        <x:v>2</x:v>
      </x:c>
      <x:c r="K8" s="10" t="n">
        <x:v>14</x:v>
      </x:c>
      <x:c r="L8" s="11" t="n">
        <x:v>0</x:v>
      </x:c>
      <x:c r="M8" s="11" t="n">
        <x:v>1</x:v>
      </x:c>
      <x:c r="N8" s="12" t="str">
        <x:v>Assets/GameData/技能/1002_冰霜冲击.asset</x:v>
      </x:c>
      <x:c r="O8" s="12"/>
      <x:c r="P8" s="12"/>
      <x:c r="Q8" s="13" t="str">
        <x:f>IF(A8="","缺少ID",IF(NOT(ISNUMBER(A8)),"需数字整数",IF(NOT(AND(ISNUMBER(A8),A8&gt;=1000,A8&lt;=1999,MOD(A8,1)=0)),"编号越界或非整数",IF(COUNTIFS('英雄'!$A$6:$A$1005,A8)+COUNTIFS('技能'!$A$6:$A$1005,A8)+COUNTIFS('怪物'!$A$6:$A$1005,A8)=1,"唯一","ID重复"))))</x:f>
        <x:v>唯一</x:v>
      </x:c>
    </x:row>
    <x:row r="9" ht="32" customHeight="1">
      <x:c r="A9" s="11" t="n">
        <x:v>1003</x:v>
      </x:c>
      <x:c r="B9" s="10" t="str">
        <x:v>冰晶巨箭</x:v>
      </x:c>
      <x:c r="C9" s="10" t="str">
        <x:v>正式配置</x:v>
      </x:c>
      <x:c r="D9" s="10" t="str">
        <x:v>方向</x:v>
      </x:c>
      <x:c r="E9" s="10" t="n">
        <x:v>150</x:v>
      </x:c>
      <x:c r="F9" s="10" t="n">
        <x:v>30</x:v>
      </x:c>
      <x:c r="G9" s="10" t="n">
        <x:v>0</x:v>
      </x:c>
      <x:c r="H9" s="10" t="n">
        <x:v>0</x:v>
      </x:c>
      <x:c r="I9" s="10" t="n">
        <x:v>90</x:v>
      </x:c>
      <x:c r="J9" s="11" t="n">
        <x:v>1</x:v>
      </x:c>
      <x:c r="K9" s="10" t="n">
        <x:v>0</x:v>
      </x:c>
      <x:c r="L9" s="11" t="n">
        <x:v>0</x:v>
      </x:c>
      <x:c r="M9" s="11" t="n">
        <x:v>1</x:v>
      </x:c>
      <x:c r="N9" s="12" t="str">
        <x:v>Assets/GameData/技能/1003_冰晶巨箭.asset</x:v>
      </x:c>
      <x:c r="O9" s="12"/>
      <x:c r="P9" s="12"/>
      <x:c r="Q9" s="13" t="str">
        <x:f>IF(A9="","缺少ID",IF(NOT(ISNUMBER(A9)),"需数字整数",IF(NOT(AND(ISNUMBER(A9),A9&gt;=1000,A9&lt;=1999,MOD(A9,1)=0)),"编号越界或非整数",IF(COUNTIFS('英雄'!$A$6:$A$1005,A9)+COUNTIFS('技能'!$A$6:$A$1005,A9)+COUNTIFS('怪物'!$A$6:$A$1005,A9)=1,"唯一","ID重复"))))</x:f>
        <x:v>唯一</x:v>
      </x:c>
    </x:row>
    <x:row r="10" ht="32" customHeight="1">
      <x:c r="A10" s="11" t="n">
        <x:v>1004</x:v>
      </x:c>
      <x:c r="B10" s="10" t="str">
        <x:v>鼓舞</x:v>
      </x:c>
      <x:c r="C10" s="10" t="str">
        <x:v>历史示例</x:v>
      </x:c>
      <x:c r="D10" s="10" t="str">
        <x:v>目标点</x:v>
      </x:c>
      <x:c r="E10" s="10" t="n">
        <x:v>8</x:v>
      </x:c>
      <x:c r="F10" s="10" t="n">
        <x:v>7</x:v>
      </x:c>
      <x:c r="G10" s="10" t="n">
        <x:v>0</x:v>
      </x:c>
      <x:c r="H10" s="10" t="n">
        <x:v>0</x:v>
      </x:c>
      <x:c r="I10" s="10" t="n">
        <x:v>15</x:v>
      </x:c>
      <x:c r="J10" s="11" t="n">
        <x:v>1</x:v>
      </x:c>
      <x:c r="K10" s="10" t="n">
        <x:v>0</x:v>
      </x:c>
      <x:c r="L10" s="11" t="n">
        <x:v>0</x:v>
      </x:c>
      <x:c r="M10" s="11" t="n">
        <x:v>0</x:v>
      </x:c>
      <x:c r="N10" s="12" t="str">
        <x:v>Assets/GameData/历史示例/技能系统/1004_E_鼓舞示例.asset</x:v>
      </x:c>
      <x:c r="O10" s="12" t="str">
        <x:v>自身圆形</x:v>
      </x:c>
      <x:c r="P10" s="12" t="str">
        <x:v>施加Buff buff.haste × 1</x:v>
      </x:c>
      <x:c r="Q10" s="13" t="str">
        <x:f>IF(A10="","缺少ID",IF(NOT(ISNUMBER(A10)),"需数字整数",IF(NOT(AND(ISNUMBER(A10),A10&gt;=1000,A10&lt;=1999,MOD(A10,1)=0)),"编号越界或非整数",IF(COUNTIFS('英雄'!$A$6:$A$1005,A10)+COUNTIFS('技能'!$A$6:$A$1005,A10)+COUNTIFS('怪物'!$A$6:$A$1005,A10)=1,"唯一","ID重复"))))</x:f>
        <x:v>唯一</x:v>
      </x:c>
    </x:row>
    <x:row r="11" ht="32" customHeight="1">
      <x:c r="A11" s="11" t="n">
        <x:v>1005</x:v>
      </x:c>
      <x:c r="B11" s="10" t="str">
        <x:v>爆裂</x:v>
      </x:c>
      <x:c r="C11" s="10" t="str">
        <x:v>历史示例</x:v>
      </x:c>
      <x:c r="D11" s="10" t="str">
        <x:v>目标点</x:v>
      </x:c>
      <x:c r="E11" s="10" t="n">
        <x:v>18</x:v>
      </x:c>
      <x:c r="F11" s="10" t="n">
        <x:v>3</x:v>
      </x:c>
      <x:c r="G11" s="10" t="n">
        <x:v>0</x:v>
      </x:c>
      <x:c r="H11" s="10" t="n">
        <x:v>0</x:v>
      </x:c>
      <x:c r="I11" s="10" t="n">
        <x:v>16</x:v>
      </x:c>
      <x:c r="J11" s="11" t="n">
        <x:v>1</x:v>
      </x:c>
      <x:c r="K11" s="10" t="n">
        <x:v>0</x:v>
      </x:c>
      <x:c r="L11" s="11" t="n">
        <x:v>0</x:v>
      </x:c>
      <x:c r="M11" s="11" t="n">
        <x:v>0</x:v>
      </x:c>
      <x:c r="N11" s="12" t="str">
        <x:v>Assets/GameData/历史示例/技能系统/1005_Q_爆发示例.asset</x:v>
      </x:c>
      <x:c r="O11" s="12" t="str">
        <x:v>即时圆形</x:v>
      </x:c>
      <x:c r="P11" s="12" t="str">
        <x:v>伤害 45；施加Buff buff.burn × 1</x:v>
      </x:c>
      <x:c r="Q11" s="13" t="str">
        <x:f>IF(A11="","缺少ID",IF(NOT(ISNUMBER(A11)),"需数字整数",IF(NOT(AND(ISNUMBER(A11),A11&gt;=1000,A11&lt;=1999,MOD(A11,1)=0)),"编号越界或非整数",IF(COUNTIFS('英雄'!$A$6:$A$1005,A11)+COUNTIFS('技能'!$A$6:$A$1005,A11)+COUNTIFS('怪物'!$A$6:$A$1005,A11)=1,"唯一","ID重复"))))</x:f>
        <x:v>唯一</x:v>
      </x:c>
    </x:row>
    <x:row r="12" ht="32" customHeight="1">
      <x:c r="A12" s="11" t="n">
        <x:v>1006</x:v>
      </x:c>
      <x:c r="B12" s="10" t="str">
        <x:v>寒霜区域</x:v>
      </x:c>
      <x:c r="C12" s="10" t="str">
        <x:v>历史示例</x:v>
      </x:c>
      <x:c r="D12" s="10" t="str">
        <x:v>目标点</x:v>
      </x:c>
      <x:c r="E12" s="10" t="n">
        <x:v>18</x:v>
      </x:c>
      <x:c r="F12" s="10" t="n">
        <x:v>6</x:v>
      </x:c>
      <x:c r="G12" s="10" t="n">
        <x:v>0</x:v>
      </x:c>
      <x:c r="H12" s="10" t="n">
        <x:v>0</x:v>
      </x:c>
      <x:c r="I12" s="10" t="n">
        <x:v>20</x:v>
      </x:c>
      <x:c r="J12" s="11" t="n">
        <x:v>1</x:v>
      </x:c>
      <x:c r="K12" s="10" t="n">
        <x:v>0</x:v>
      </x:c>
      <x:c r="L12" s="11" t="n">
        <x:v>0</x:v>
      </x:c>
      <x:c r="M12" s="11" t="n">
        <x:v>0</x:v>
      </x:c>
      <x:c r="N12" s="12" t="str">
        <x:v>Assets/GameData/历史示例/技能系统/1006_W_冰霜区域示例.asset</x:v>
      </x:c>
      <x:c r="O12" s="12" t="str">
        <x:v>持续圆形</x:v>
      </x:c>
      <x:c r="P12" s="12" t="str">
        <x:v>施加Buff buff.frost × 1</x:v>
      </x:c>
      <x:c r="Q12" s="13" t="str">
        <x:f>IF(A12="","缺少ID",IF(NOT(ISNUMBER(A12)),"需数字整数",IF(NOT(AND(ISNUMBER(A12),A12&gt;=1000,A12&lt;=1999,MOD(A12,1)=0)),"编号越界或非整数",IF(COUNTIFS('英雄'!$A$6:$A$1005,A12)+COUNTIFS('技能'!$A$6:$A$1005,A12)+COUNTIFS('怪物'!$A$6:$A$1005,A12)=1,"唯一","ID重复"))))</x:f>
        <x:v>唯一</x:v>
      </x:c>
    </x:row>
    <x:row r="13" ht="32" customHeight="1">
      <x:c r="A13" s="11" t="n">
        <x:v>1007</x:v>
      </x:c>
      <x:c r="B13" s="10" t="str">
        <x:v>范围技能示例</x:v>
      </x:c>
      <x:c r="C13" s="10" t="str">
        <x:v>工作台示例</x:v>
      </x:c>
      <x:c r="D13" s="10" t="str">
        <x:v>方向</x:v>
      </x:c>
      <x:c r="E13" s="10" t="n">
        <x:v>12</x:v>
      </x:c>
      <x:c r="F13" s="10" t="n">
        <x:v>4</x:v>
      </x:c>
      <x:c r="G13" s="10" t="n">
        <x:v>0</x:v>
      </x:c>
      <x:c r="H13" s="10" t="n">
        <x:v>0</x:v>
      </x:c>
      <x:c r="I13" s="10" t="n">
        <x:v>0</x:v>
      </x:c>
      <x:c r="J13" s="11" t="n">
        <x:v>1</x:v>
      </x:c>
      <x:c r="K13" s="10" t="n">
        <x:v>0</x:v>
      </x:c>
      <x:c r="L13" s="11" t="n">
        <x:v>0</x:v>
      </x:c>
      <x:c r="M13" s="11" t="n">
        <x:v>1</x:v>
      </x:c>
      <x:c r="N13" s="12" t="str">
        <x:v>Assets/GameData/编辑示例/技能工作台/1007_范围技能示例.asset</x:v>
      </x:c>
      <x:c r="O13" s="12"/>
      <x:c r="P13" s="12"/>
      <x:c r="Q13" s="13" t="str">
        <x:f>IF(A13="","缺少ID",IF(NOT(ISNUMBER(A13)),"需数字整数",IF(NOT(AND(ISNUMBER(A13),A13&gt;=1000,A13&lt;=1999,MOD(A13,1)=0)),"编号越界或非整数",IF(COUNTIFS('英雄'!$A$6:$A$1005,A13)+COUNTIFS('技能'!$A$6:$A$1005,A13)+COUNTIFS('怪物'!$A$6:$A$1005,A13)=1,"唯一","ID重复"))))</x:f>
        <x:v>唯一</x:v>
      </x:c>
    </x:row>
  </x:sheetData>
  <x:conditionalFormatting sqref="Q6:Q13">
    <x:cfRule type="notContainsText" dxfId="1" priority="1" text="唯一"/>
  </x:conditionalFormatting>
  <x:dataValidations count="1">
    <x:dataValidation type="whole" operator="between" sqref="A6:A1005">
      <x:formula1>1000</x:formula1>
      <x:formula2>1999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5e787b7325c45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66" hidden="0" customWidth="1"/>
    <x:col min="10" max="10" width="18" hidden="0" customWidth="1"/>
  </x:cols>
  <x:sheetData>
    <x:row r="1">
      <x:c r="A1" s="2" t="str">
        <x:v>怪物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源自已保存的 Unity 配置，2026-10-22；Excel 是快照，修改 GameData 后重新导出。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怪物ID</x:v>
      </x:c>
      <x:c r="B5" s="7" t="str">
        <x:v>怪物名称</x:v>
      </x:c>
      <x:c r="C5" s="7" t="str">
        <x:v>用途</x:v>
      </x:c>
      <x:c r="D5" s="7" t="str">
        <x:v>基础生命</x:v>
      </x:c>
      <x:c r="E5" s="7" t="str">
        <x:v>移动速度
单位/秒</x:v>
      </x:c>
      <x:c r="F5" s="7" t="str">
        <x:v>攻击伤害</x:v>
      </x:c>
      <x:c r="G5" s="7" t="str">
        <x:v>攻击间隔
秒</x:v>
      </x:c>
      <x:c r="H5" s="7" t="str">
        <x:v>攻击距离
Unity单位</x:v>
      </x:c>
      <x:c r="I5" s="7" t="str">
        <x:v>配置来源</x:v>
      </x:c>
      <x:c r="J5" s="7" t="str">
        <x:v>ID检查</x:v>
      </x:c>
    </x:row>
    <x:row r="6" ht="32" customHeight="1">
      <x:c r="A6" s="11" t="n">
        <x:v>3000</x:v>
      </x:c>
      <x:c r="B6" s="10" t="str">
        <x:v>普通怪物</x:v>
      </x:c>
      <x:c r="C6" s="10" t="str">
        <x:v>当前统一怪物配置</x:v>
      </x:c>
      <x:c r="D6" s="11" t="n">
        <x:v>30</x:v>
      </x:c>
      <x:c r="E6" s="10" t="n">
        <x:v>2</x:v>
      </x:c>
      <x:c r="F6" s="11" t="n">
        <x:v>4</x:v>
      </x:c>
      <x:c r="G6" s="10" t="n">
        <x:v>1</x:v>
      </x:c>
      <x:c r="H6" s="10" t="n">
        <x:v>1.25</x:v>
      </x:c>
      <x:c r="I6" s="12" t="str">
        <x:v>Assets/Scenes/Game.unity</x:v>
      </x:c>
      <x:c r="J6" s="13" t="str">
        <x:f>IF(A6="","缺少ID",IF(NOT(ISNUMBER(A6)),"需数字整数",IF(NOT(AND(ISNUMBER(A6),A6&gt;=3000,A6&lt;=3999,MOD(A6,1)=0)),"编号越界或非整数",IF(COUNTIFS('英雄'!$A$6:$A$1005,A6)+COUNTIFS('技能'!$A$6:$A$1005,A6)+COUNTIFS('怪物'!$A$6:$A$1005,A6)=1,"唯一","ID重复"))))</x:f>
        <x:v>唯一</x:v>
      </x:c>
    </x:row>
  </x:sheetData>
  <x:conditionalFormatting sqref="J6:J6">
    <x:cfRule type="notContainsText" dxfId="2" priority="1" text="唯一"/>
  </x:conditionalFormatting>
  <x:dataValidations count="1">
    <x:dataValidation type="whole" operator="between" sqref="A6:A1005">
      <x:formula1>3000</x:formula1>
      <x:formula2>3999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975ce039e6c404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5" hidden="0" customWidth="1"/>
    <x:col min="4" max="4" width="15" hidden="0" customWidth="1"/>
    <x:col min="5" max="5" width="14" hidden="0" customWidth="1"/>
    <x:col min="6" max="6" width="24" hidden="0" customWidth="1"/>
    <x:col min="7" max="7" width="18" hidden="0" customWidth="1"/>
  </x:cols>
  <x:sheetData>
    <x:row r="1">
      <x:c r="A1" s="2" t="str">
        <x:v>英雄技能装配</x:v>
      </x:c>
      <x:c r="B1" s="1"/>
      <x:c r="C1" s="1"/>
      <x:c r="D1" s="1"/>
      <x:c r="E1" s="1"/>
      <x:c r="F1" s="1"/>
      <x:c r="G1" s="1"/>
    </x:row>
    <x:row r="2">
      <x:c r="A2" s="3" t="str">
        <x:v>源自已保存的 Unity 配置，2026-10-22；Excel 是快照，修改 GameData 后重新导出。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7" t="str">
        <x:v>英雄ID</x:v>
      </x:c>
      <x:c r="B5" s="7" t="str">
        <x:v>英雄名称（查表）</x:v>
      </x:c>
      <x:c r="C5" s="7" t="str">
        <x:v>槽位序号</x:v>
      </x:c>
      <x:c r="D5" s="7" t="str">
        <x:v>默认输入</x:v>
      </x:c>
      <x:c r="E5" s="7" t="str">
        <x:v>技能ID</x:v>
      </x:c>
      <x:c r="F5" s="7" t="str">
        <x:v>技能名称（查表）</x:v>
      </x:c>
      <x:c r="G5" s="7" t="str">
        <x:v>引用检查</x:v>
      </x:c>
    </x:row>
    <x:row r="6" ht="32" customHeight="1">
      <x:c r="A6" s="11" t="n">
        <x:v>2000</x:v>
      </x:c>
      <x:c r="B6" s="13" t="str">
        <x:f>IF(COUNTIFS('英雄'!$A$6:$A$1005,A6)=1,INDEX('英雄'!$B$6:$B$1005,MATCH(A6,'英雄'!$A$6:$A$1005,0)),"英雄ID无效")</x:f>
        <x:v>寒冰射手</x:v>
      </x:c>
      <x:c r="C6" s="11" t="n">
        <x:v>1</x:v>
      </x:c>
      <x:c r="D6" s="10" t="str">
        <x:v>Q</x:v>
      </x:c>
      <x:c r="E6" s="11" t="n">
        <x:v>1000</x:v>
      </x:c>
      <x:c r="F6" s="13" t="str">
        <x:f>IF(COUNTIFS('技能'!$A$6:$A$1005,E6)=1,INDEX('技能'!$B$6:$B$1005,MATCH(E6,'技能'!$A$6:$A$1005,0)),"技能ID无效")</x:f>
        <x:v>冰霜专注</x:v>
      </x:c>
      <x:c r="G6" s="13" t="str">
        <x:f>IF(OR(NOT(ISNUMBER(A6)),NOT(ISNUMBER(E6)),NOT(ISNUMBER(C6))),"需数字整数",IF(AND(AND(ISNUMBER(A6),A6&gt;=2000,A6&lt;=2999,MOD(A6,1)=0),AND(ISNUMBER(E6),E6&gt;=1000,E6&lt;=1999,MOD(E6,1)=0),C6&gt;=1,MOD(C6,1)=0,COUNTIFS('英雄'!$A$6:$A$1005,A6)=1,COUNTIFS('技能'!$A$6:$A$1005,E6)=1,COUNTIFS($A$6:$A$1005,A6,$C$6:$C$1005,C6)=1),"有效","编号、引用或槽位无效"))</x:f>
        <x:v>有效</x:v>
      </x:c>
    </x:row>
    <x:row r="7" ht="32" customHeight="1">
      <x:c r="A7" s="11" t="n">
        <x:v>2000</x:v>
      </x:c>
      <x:c r="B7" s="13" t="str">
        <x:f>IF(COUNTIFS('英雄'!$A$6:$A$1005,A7)=1,INDEX('英雄'!$B$6:$B$1005,MATCH(A7,'英雄'!$A$6:$A$1005,0)),"英雄ID无效")</x:f>
        <x:v>寒冰射手</x:v>
      </x:c>
      <x:c r="C7" s="11" t="n">
        <x:v>2</x:v>
      </x:c>
      <x:c r="D7" s="10" t="str">
        <x:v>W</x:v>
      </x:c>
      <x:c r="E7" s="11" t="n">
        <x:v>1001</x:v>
      </x:c>
      <x:c r="F7" s="13" t="str">
        <x:f>IF(COUNTIFS('技能'!$A$6:$A$1005,E7)=1,INDEX('技能'!$B$6:$B$1005,MATCH(E7,'技能'!$A$6:$A$1005,0)),"技能ID无效")</x:f>
        <x:v>冰霜扇击</x:v>
      </x:c>
      <x:c r="G7" s="13" t="str">
        <x:f>IF(OR(NOT(ISNUMBER(A7)),NOT(ISNUMBER(E7)),NOT(ISNUMBER(C7))),"需数字整数",IF(AND(AND(ISNUMBER(A7),A7&gt;=2000,A7&lt;=2999,MOD(A7,1)=0),AND(ISNUMBER(E7),E7&gt;=1000,E7&lt;=1999,MOD(E7,1)=0),C7&gt;=1,MOD(C7,1)=0,COUNTIFS('英雄'!$A$6:$A$1005,A7)=1,COUNTIFS('技能'!$A$6:$A$1005,E7)=1,COUNTIFS($A$6:$A$1005,A7,$C$6:$C$1005,C7)=1),"有效","编号、引用或槽位无效"))</x:f>
        <x:v>有效</x:v>
      </x:c>
    </x:row>
    <x:row r="8" ht="32" customHeight="1">
      <x:c r="A8" s="11" t="n">
        <x:v>2000</x:v>
      </x:c>
      <x:c r="B8" s="13" t="str">
        <x:f>IF(COUNTIFS('英雄'!$A$6:$A$1005,A8)=1,INDEX('英雄'!$B$6:$B$1005,MATCH(A8,'英雄'!$A$6:$A$1005,0)),"英雄ID无效")</x:f>
        <x:v>寒冰射手</x:v>
      </x:c>
      <x:c r="C8" s="11" t="n">
        <x:v>3</x:v>
      </x:c>
      <x:c r="D8" s="10" t="str">
        <x:v>E</x:v>
      </x:c>
      <x:c r="E8" s="11" t="n">
        <x:v>1002</x:v>
      </x:c>
      <x:c r="F8" s="13" t="str">
        <x:f>IF(COUNTIFS('技能'!$A$6:$A$1005,E8)=1,INDEX('技能'!$B$6:$B$1005,MATCH(E8,'技能'!$A$6:$A$1005,0)),"技能ID无效")</x:f>
        <x:v>冰霜冲击</x:v>
      </x:c>
      <x:c r="G8" s="13" t="str">
        <x:f>IF(OR(NOT(ISNUMBER(A8)),NOT(ISNUMBER(E8)),NOT(ISNUMBER(C8))),"需数字整数",IF(AND(AND(ISNUMBER(A8),A8&gt;=2000,A8&lt;=2999,MOD(A8,1)=0),AND(ISNUMBER(E8),E8&gt;=1000,E8&lt;=1999,MOD(E8,1)=0),C8&gt;=1,MOD(C8,1)=0,COUNTIFS('英雄'!$A$6:$A$1005,A8)=1,COUNTIFS('技能'!$A$6:$A$1005,E8)=1,COUNTIFS($A$6:$A$1005,A8,$C$6:$C$1005,C8)=1),"有效","编号、引用或槽位无效"))</x:f>
        <x:v>有效</x:v>
      </x:c>
    </x:row>
    <x:row r="9" ht="32" customHeight="1">
      <x:c r="A9" s="11" t="n">
        <x:v>2000</x:v>
      </x:c>
      <x:c r="B9" s="13" t="str">
        <x:f>IF(COUNTIFS('英雄'!$A$6:$A$1005,A9)=1,INDEX('英雄'!$B$6:$B$1005,MATCH(A9,'英雄'!$A$6:$A$1005,0)),"英雄ID无效")</x:f>
        <x:v>寒冰射手</x:v>
      </x:c>
      <x:c r="C9" s="11" t="n">
        <x:v>4</x:v>
      </x:c>
      <x:c r="D9" s="10" t="str">
        <x:v>R</x:v>
      </x:c>
      <x:c r="E9" s="11" t="n">
        <x:v>1003</x:v>
      </x:c>
      <x:c r="F9" s="13" t="str">
        <x:f>IF(COUNTIFS('技能'!$A$6:$A$1005,E9)=1,INDEX('技能'!$B$6:$B$1005,MATCH(E9,'技能'!$A$6:$A$1005,0)),"技能ID无效")</x:f>
        <x:v>冰晶巨箭</x:v>
      </x:c>
      <x:c r="G9" s="13" t="str">
        <x:f>IF(OR(NOT(ISNUMBER(A9)),NOT(ISNUMBER(E9)),NOT(ISNUMBER(C9))),"需数字整数",IF(AND(AND(ISNUMBER(A9),A9&gt;=2000,A9&lt;=2999,MOD(A9,1)=0),AND(ISNUMBER(E9),E9&gt;=1000,E9&lt;=1999,MOD(E9,1)=0),C9&gt;=1,MOD(C9,1)=0,COUNTIFS('英雄'!$A$6:$A$1005,A9)=1,COUNTIFS('技能'!$A$6:$A$1005,E9)=1,COUNTIFS($A$6:$A$1005,A9,$C$6:$C$1005,C9)=1),"有效","编号、引用或槽位无效"))</x:f>
        <x:v>有效</x:v>
      </x:c>
    </x:row>
    <x:row r="10" ht="32" customHeight="1">
      <x:c r="A10" s="11" t="n">
        <x:v>2001</x:v>
      </x:c>
      <x:c r="B10" s="13" t="str">
        <x:f>IF(COUNTIFS('英雄'!$A$6:$A$1005,A10)=1,INDEX('英雄'!$B$6:$B$1005,MATCH(A10,'英雄'!$A$6:$A$1005,0)),"英雄ID无效")</x:f>
        <x:v>寒冰射手·换槽配置示例</x:v>
      </x:c>
      <x:c r="C10" s="11" t="n">
        <x:v>1</x:v>
      </x:c>
      <x:c r="D10" s="10" t="str">
        <x:v>Q</x:v>
      </x:c>
      <x:c r="E10" s="11" t="n">
        <x:v>1002</x:v>
      </x:c>
      <x:c r="F10" s="13" t="str">
        <x:f>IF(COUNTIFS('技能'!$A$6:$A$1005,E10)=1,INDEX('技能'!$B$6:$B$1005,MATCH(E10,'技能'!$A$6:$A$1005,0)),"技能ID无效")</x:f>
        <x:v>冰霜冲击</x:v>
      </x:c>
      <x:c r="G10" s="13" t="str">
        <x:f>IF(OR(NOT(ISNUMBER(A10)),NOT(ISNUMBER(E10)),NOT(ISNUMBER(C10))),"需数字整数",IF(AND(AND(ISNUMBER(A10),A10&gt;=2000,A10&lt;=2999,MOD(A10,1)=0),AND(ISNUMBER(E10),E10&gt;=1000,E10&lt;=1999,MOD(E10,1)=0),C10&gt;=1,MOD(C10,1)=0,COUNTIFS('英雄'!$A$6:$A$1005,A10)=1,COUNTIFS('技能'!$A$6:$A$1005,E10)=1,COUNTIFS($A$6:$A$1005,A10,$C$6:$C$1005,C10)=1),"有效","编号、引用或槽位无效"))</x:f>
        <x:v>有效</x:v>
      </x:c>
    </x:row>
    <x:row r="11" ht="32" customHeight="1">
      <x:c r="A11" s="11" t="n">
        <x:v>2001</x:v>
      </x:c>
      <x:c r="B11" s="13" t="str">
        <x:f>IF(COUNTIFS('英雄'!$A$6:$A$1005,A11)=1,INDEX('英雄'!$B$6:$B$1005,MATCH(A11,'英雄'!$A$6:$A$1005,0)),"英雄ID无效")</x:f>
        <x:v>寒冰射手·换槽配置示例</x:v>
      </x:c>
      <x:c r="C11" s="11" t="n">
        <x:v>2</x:v>
      </x:c>
      <x:c r="D11" s="10" t="str">
        <x:v>W</x:v>
      </x:c>
      <x:c r="E11" s="11" t="n">
        <x:v>1001</x:v>
      </x:c>
      <x:c r="F11" s="13" t="str">
        <x:f>IF(COUNTIFS('技能'!$A$6:$A$1005,E11)=1,INDEX('技能'!$B$6:$B$1005,MATCH(E11,'技能'!$A$6:$A$1005,0)),"技能ID无效")</x:f>
        <x:v>冰霜扇击</x:v>
      </x:c>
      <x:c r="G11" s="13" t="str">
        <x:f>IF(OR(NOT(ISNUMBER(A11)),NOT(ISNUMBER(E11)),NOT(ISNUMBER(C11))),"需数字整数",IF(AND(AND(ISNUMBER(A11),A11&gt;=2000,A11&lt;=2999,MOD(A11,1)=0),AND(ISNUMBER(E11),E11&gt;=1000,E11&lt;=1999,MOD(E11,1)=0),C11&gt;=1,MOD(C11,1)=0,COUNTIFS('英雄'!$A$6:$A$1005,A11)=1,COUNTIFS('技能'!$A$6:$A$1005,E11)=1,COUNTIFS($A$6:$A$1005,A11,$C$6:$C$1005,C11)=1),"有效","编号、引用或槽位无效"))</x:f>
        <x:v>有效</x:v>
      </x:c>
    </x:row>
    <x:row r="12" ht="32" customHeight="1">
      <x:c r="A12" s="11" t="n">
        <x:v>2001</x:v>
      </x:c>
      <x:c r="B12" s="13" t="str">
        <x:f>IF(COUNTIFS('英雄'!$A$6:$A$1005,A12)=1,INDEX('英雄'!$B$6:$B$1005,MATCH(A12,'英雄'!$A$6:$A$1005,0)),"英雄ID无效")</x:f>
        <x:v>寒冰射手·换槽配置示例</x:v>
      </x:c>
      <x:c r="C12" s="11" t="n">
        <x:v>3</x:v>
      </x:c>
      <x:c r="D12" s="10" t="str">
        <x:v>E</x:v>
      </x:c>
      <x:c r="E12" s="11" t="n">
        <x:v>1000</x:v>
      </x:c>
      <x:c r="F12" s="13" t="str">
        <x:f>IF(COUNTIFS('技能'!$A$6:$A$1005,E12)=1,INDEX('技能'!$B$6:$B$1005,MATCH(E12,'技能'!$A$6:$A$1005,0)),"技能ID无效")</x:f>
        <x:v>冰霜专注</x:v>
      </x:c>
      <x:c r="G12" s="13" t="str">
        <x:f>IF(OR(NOT(ISNUMBER(A12)),NOT(ISNUMBER(E12)),NOT(ISNUMBER(C12))),"需数字整数",IF(AND(AND(ISNUMBER(A12),A12&gt;=2000,A12&lt;=2999,MOD(A12,1)=0),AND(ISNUMBER(E12),E12&gt;=1000,E12&lt;=1999,MOD(E12,1)=0),C12&gt;=1,MOD(C12,1)=0,COUNTIFS('英雄'!$A$6:$A$1005,A12)=1,COUNTIFS('技能'!$A$6:$A$1005,E12)=1,COUNTIFS($A$6:$A$1005,A12,$C$6:$C$1005,C12)=1),"有效","编号、引用或槽位无效"))</x:f>
        <x:v>有效</x:v>
      </x:c>
    </x:row>
    <x:row r="13" ht="32" customHeight="1">
      <x:c r="A13" s="11" t="n">
        <x:v>2001</x:v>
      </x:c>
      <x:c r="B13" s="13" t="str">
        <x:f>IF(COUNTIFS('英雄'!$A$6:$A$1005,A13)=1,INDEX('英雄'!$B$6:$B$1005,MATCH(A13,'英雄'!$A$6:$A$1005,0)),"英雄ID无效")</x:f>
        <x:v>寒冰射手·换槽配置示例</x:v>
      </x:c>
      <x:c r="C13" s="11" t="n">
        <x:v>4</x:v>
      </x:c>
      <x:c r="D13" s="10" t="str">
        <x:v>R</x:v>
      </x:c>
      <x:c r="E13" s="11" t="n">
        <x:v>1003</x:v>
      </x:c>
      <x:c r="F13" s="13" t="str">
        <x:f>IF(COUNTIFS('技能'!$A$6:$A$1005,E13)=1,INDEX('技能'!$B$6:$B$1005,MATCH(E13,'技能'!$A$6:$A$1005,0)),"技能ID无效")</x:f>
        <x:v>冰晶巨箭</x:v>
      </x:c>
      <x:c r="G13" s="13" t="str">
        <x:f>IF(OR(NOT(ISNUMBER(A13)),NOT(ISNUMBER(E13)),NOT(ISNUMBER(C13))),"需数字整数",IF(AND(AND(ISNUMBER(A13),A13&gt;=2000,A13&lt;=2999,MOD(A13,1)=0),AND(ISNUMBER(E13),E13&gt;=1000,E13&lt;=1999,MOD(E13,1)=0),C13&gt;=1,MOD(C13,1)=0,COUNTIFS('英雄'!$A$6:$A$1005,A13)=1,COUNTIFS('技能'!$A$6:$A$1005,E13)=1,COUNTIFS($A$6:$A$1005,A13,$C$6:$C$1005,C13)=1),"有效","编号、引用或槽位无效"))</x:f>
        <x:v>有效</x:v>
      </x:c>
    </x:row>
  </x:sheetData>
  <x:pageMargins left="0.7" right="0.7" top="0.75" bottom="0.75" header="0.3" footer="0.3"/>
  <x:tableParts count="1">
    <x:tablePart xmlns:r="http://schemas.openxmlformats.org/officeDocument/2006/relationships" r:id="R0febabe5ec654b6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13" hidden="0" customWidth="1"/>
    <x:col min="5" max="5" width="16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8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65" hidden="0" customWidth="1"/>
    <x:col min="20" max="20" width="65" hidden="0" customWidth="1"/>
  </x:cols>
  <x:sheetData>
    <x:row r="1">
      <x:c r="A1" s="2" t="str">
        <x:v>技能阶段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源自已保存的 Unity 配置，2026-10-22；Excel 是快照，修改 GameData 后重新导出。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8" customHeight="1">
      <x:c r="A5" s="7" t="str">
        <x:v>技能ID</x:v>
      </x:c>
      <x:c r="B5" s="7" t="str">
        <x:v>阶段序号</x:v>
      </x:c>
      <x:c r="C5" s="7" t="str">
        <x:v>释放后延迟
秒</x:v>
      </x:c>
      <x:c r="D5" s="7" t="str">
        <x:v>执行次数</x:v>
      </x:c>
      <x:c r="E5" s="7" t="str">
        <x:v>重复间隔
秒</x:v>
      </x:c>
      <x:c r="F5" s="7" t="str">
        <x:v>投递方式</x:v>
      </x:c>
      <x:c r="G5" s="7" t="str">
        <x:v>目标范围</x:v>
      </x:c>
      <x:c r="H5" s="7" t="str">
        <x:v>区域形状</x:v>
      </x:c>
      <x:c r="I5" s="7" t="str">
        <x:v>目标关系</x:v>
      </x:c>
      <x:c r="J5" s="7" t="str">
        <x:v>长度
Unity单位</x:v>
      </x:c>
      <x:c r="K5" s="7" t="str">
        <x:v>半径或半宽
Unity单位</x:v>
      </x:c>
      <x:c r="L5" s="7" t="str">
        <x:v>碰撞半径
Unity单位</x:v>
      </x:c>
      <x:c r="M5" s="7" t="str">
        <x:v>扇形半角
度</x:v>
      </x:c>
      <x:c r="N5" s="7" t="str">
        <x:v>飞行速度
单位/秒</x:v>
      </x:c>
      <x:c r="O5" s="7" t="str">
        <x:v>弧高
Unity单位</x:v>
      </x:c>
      <x:c r="P5" s="7" t="str">
        <x:v>飞行时长
秒</x:v>
      </x:c>
      <x:c r="Q5" s="7" t="str">
        <x:v>发射高度
Unity单位</x:v>
      </x:c>
      <x:c r="R5" s="7" t="str">
        <x:v>落点高度
Unity单位</x:v>
      </x:c>
      <x:c r="S5" s="7" t="str">
        <x:v>范围效果（按顺序）</x:v>
      </x:c>
      <x:c r="T5" s="7" t="str">
        <x:v>首碰效果（按顺序）</x:v>
      </x:c>
    </x:row>
    <x:row r="6" ht="62" customHeight="1">
      <x:c r="A6" s="11" t="n">
        <x:v>1007</x:v>
      </x:c>
      <x:c r="B6" s="11" t="n">
        <x:v>1</x:v>
      </x:c>
      <x:c r="C6" s="10" t="n">
        <x:v>0</x:v>
      </x:c>
      <x:c r="D6" s="11" t="n">
        <x:v>1</x:v>
      </x:c>
      <x:c r="E6" s="10" t="n">
        <x:v>0</x:v>
      </x:c>
      <x:c r="F6" s="10" t="str">
        <x:v>立即结算</x:v>
      </x:c>
      <x:c r="G6" s="10" t="str">
        <x:v>范围</x:v>
      </x:c>
      <x:c r="H6" s="10" t="str">
        <x:v>扇形</x:v>
      </x:c>
      <x:c r="I6" s="10" t="str">
        <x:v>敌方</x:v>
      </x:c>
      <x:c r="J6" s="10" t="n">
        <x:v>12</x:v>
      </x:c>
      <x:c r="K6" s="10" t="n">
        <x:v>3</x:v>
      </x:c>
      <x:c r="L6" s="10" t="n">
        <x:v>0.5</x:v>
      </x:c>
      <x:c r="M6" s="10" t="n">
        <x:v>35</x:v>
      </x:c>
      <x:c r="N6" s="10" t="n">
        <x:v>40</x:v>
      </x:c>
      <x:c r="O6" s="10" t="n">
        <x:v>3</x:v>
      </x:c>
      <x:c r="P6" s="10" t="n">
        <x:v>1</x:v>
      </x:c>
      <x:c r="Q6" s="10" t="n">
        <x:v>1</x:v>
      </x:c>
      <x:c r="R6" s="10" t="n">
        <x:v>0</x:v>
      </x:c>
      <x:c r="S6" s="12" t="str">
        <x:v>4000 · 4000_范围技能示例·伤害效果：{"configId":4000,"stableId":"effect.9461525a7492404b8e18bf95738f6069","target":0,"amount":10.0}
4000 · 4000_范围技能示例·伤害效果：{"configId":4000,"stableId":"effect.9461525a7492404b8e18bf95738f6069","target":0,"amount":10.0}</x:v>
      </x:c>
      <x:c r="T6" s="12" t="str"/>
    </x:row>
    <x:row r="7" ht="62" customHeight="1">
      <x:c r="A7" s="11" t="n">
        <x:v>1003</x:v>
      </x:c>
      <x:c r="B7" s="11" t="n">
        <x:v>1</x:v>
      </x:c>
      <x:c r="C7" s="10" t="n">
        <x:v>0</x:v>
      </x:c>
      <x:c r="D7" s="11" t="n">
        <x:v>1</x:v>
      </x:c>
      <x:c r="E7" s="10" t="n">
        <x:v>0</x:v>
      </x:c>
      <x:c r="F7" s="10" t="str">
        <x:v>直线首碰</x:v>
      </x:c>
      <x:c r="G7" s="10" t="str">
        <x:v>范围</x:v>
      </x:c>
      <x:c r="H7" s="10" t="str">
        <x:v>圆形</x:v>
      </x:c>
      <x:c r="I7" s="10" t="str">
        <x:v>敌方</x:v>
      </x:c>
      <x:c r="J7" s="10" t="n">
        <x:v>150</x:v>
      </x:c>
      <x:c r="K7" s="10" t="n">
        <x:v>7</x:v>
      </x:c>
      <x:c r="L7" s="10" t="n">
        <x:v>1.149999976158142</x:v>
      </x:c>
      <x:c r="M7" s="10" t="n">
        <x:v>35</x:v>
      </x:c>
      <x:c r="N7" s="10" t="n">
        <x:v>48</x:v>
      </x:c>
      <x:c r="O7" s="10" t="n">
        <x:v>3</x:v>
      </x:c>
      <x:c r="P7" s="10" t="n">
        <x:v>1</x:v>
      </x:c>
      <x:c r="Q7" s="10" t="n">
        <x:v>1</x:v>
      </x:c>
      <x:c r="R7" s="10" t="n">
        <x:v>0</x:v>
      </x:c>
      <x:c r="S7" s="12" t="str">
        <x:v>4001 · 4001_冰晶爆炸伤害：{"configId":4001,"stableId":"effect.ca77a76ab9b249219c00753aa078a9fa","target":0,"amount":100.0}
4005 · 4005_施加冰晶减速：{"configId":4005,"stableId":"effect.ee1720bbecfa4fae88de5169e8239271","target":0,"buff":{"instanceID":56234},"buffScale":1.0}；{"configId":5005,"stableId":"buff.crystal_slow","displayName":"冰晶减速","duration":3.0,"interval":1.0,"periodicDamage":0.0,"stacking":0,"maxStacks":1,"dispellable":true,"sourcePolicy":1,"modifiers":[{"attribute":0,"operation":1,"value":-0.5}],"controls":0,"moveSpeedPercent":0.0,"attackDamageFlat":0.0,"healthRegen":0.0}</x:v>
      </x:c>
      <x:c r="T7" s="12" t="str">
        <x:v>4002 · 4002_冰晶首中伤害：{"configId":4002,"stableId":"effect.6653cd78205341239d33d86fb47d7fb4","target":0,"amount":120.0}
4006 · 4006_施加冰晶眩晕：{"configId":4006,"stableId":"effect.645fd12511cd440483f47d5e53c58c3b","target":0,"buff":{"instanceID":56588},"buffScale":1.0}；{"configId":5006,"stableId":"buff.crystal_stun","displayName":"冰晶眩晕","duration":1.5,"interval":1.0,"periodicDamage":0.0,"stacking":0,"maxStacks":1,"dispellable":true,"sourcePolicy":1,"modifiers":[],"controls":7,"moveSpeedPercent":0.0,"attackDamageFlat":0.0,"healthRegen":0.0}</x:v>
      </x:c>
    </x:row>
    <x:row r="8" ht="62" customHeight="1">
      <x:c r="A8" s="11" t="n">
        <x:v>1000</x:v>
      </x:c>
      <x:c r="B8" s="11" t="n">
        <x:v>1</x:v>
      </x:c>
      <x:c r="C8" s="10" t="n">
        <x:v>0</x:v>
      </x:c>
      <x:c r="D8" s="11" t="n">
        <x:v>1</x:v>
      </x:c>
      <x:c r="E8" s="10" t="n">
        <x:v>0</x:v>
      </x:c>
      <x:c r="F8" s="10" t="str">
        <x:v>立即结算</x:v>
      </x:c>
      <x:c r="G8" s="10" t="str">
        <x:v>自身</x:v>
      </x:c>
      <x:c r="H8" s="10" t="str">
        <x:v>圆形</x:v>
      </x:c>
      <x:c r="I8" s="10" t="str">
        <x:v>友方</x:v>
      </x:c>
      <x:c r="J8" s="10" t="n">
        <x:v>0</x:v>
      </x:c>
      <x:c r="K8" s="10" t="n">
        <x:v>5</x:v>
      </x:c>
      <x:c r="L8" s="10" t="n">
        <x:v>0.5</x:v>
      </x:c>
      <x:c r="M8" s="10" t="n">
        <x:v>35</x:v>
      </x:c>
      <x:c r="N8" s="10" t="n">
        <x:v>40</x:v>
      </x:c>
      <x:c r="O8" s="10" t="n">
        <x:v>3</x:v>
      </x:c>
      <x:c r="P8" s="10" t="n">
        <x:v>1</x:v>
      </x:c>
      <x:c r="Q8" s="10" t="n">
        <x:v>1</x:v>
      </x:c>
      <x:c r="R8" s="10" t="n">
        <x:v>0</x:v>
      </x:c>
      <x:c r="S8" s="12" t="str">
        <x:v>4007 · 4007_施加冰霜专注：{"configId":4007,"stableId":"effect.44ed1aebdd5e4de0a989f3007cad7861","target":0,"buff":{"instanceID":56684},"buffScale":1.0}；{"configId":5007,"stableId":"buff.frost_focus","displayName":"冰霜专注","duration":5.0,"interval":1.0,"periodicDamage":0.0,"stacking":0,"maxStacks":1,"dispellable":true,"sourcePolicy":1,"modifiers":[{"attribute":2,"operation":1,"value":0.6000000238418579}],"controls":0,"moveSpeedPercent":0.0,"attackDamageFlat":0.0,"healthRegen":0.0}</x:v>
      </x:c>
      <x:c r="T8" s="12" t="str"/>
    </x:row>
    <x:row r="9" ht="62" customHeight="1">
      <x:c r="A9" s="11" t="n">
        <x:v>1002</x:v>
      </x:c>
      <x:c r="B9" s="11" t="n">
        <x:v>1</x:v>
      </x:c>
      <x:c r="C9" s="10" t="n">
        <x:v>0</x:v>
      </x:c>
      <x:c r="D9" s="11" t="n">
        <x:v>1</x:v>
      </x:c>
      <x:c r="E9" s="10" t="n">
        <x:v>0</x:v>
      </x:c>
      <x:c r="F9" s="10" t="str">
        <x:v>飞向目标点</x:v>
      </x:c>
      <x:c r="G9" s="10" t="str">
        <x:v>范围</x:v>
      </x:c>
      <x:c r="H9" s="10" t="str">
        <x:v>圆形</x:v>
      </x:c>
      <x:c r="I9" s="10" t="str">
        <x:v>敌方</x:v>
      </x:c>
      <x:c r="J9" s="10" t="n">
        <x:v>25</x:v>
      </x:c>
      <x:c r="K9" s="10" t="n">
        <x:v>5</x:v>
      </x:c>
      <x:c r="L9" s="10" t="n">
        <x:v>0.5</x:v>
      </x:c>
      <x:c r="M9" s="10" t="n">
        <x:v>35</x:v>
      </x:c>
      <x:c r="N9" s="10" t="n">
        <x:v>42</x:v>
      </x:c>
      <x:c r="O9" s="10" t="n">
        <x:v>3</x:v>
      </x:c>
      <x:c r="P9" s="10" t="n">
        <x:v>1</x:v>
      </x:c>
      <x:c r="Q9" s="10" t="n">
        <x:v>1</x:v>
      </x:c>
      <x:c r="R9" s="10" t="n">
        <x:v>0</x:v>
      </x:c>
      <x:c r="S9" s="12" t="str">
        <x:v>4003 · 4003_冰霜冲击伤害：{"configId":4003,"stableId":"effect.47fd7946cfdb4f80843f46b888106ee2","target":0,"amount":90.0}</x:v>
      </x:c>
      <x:c r="T9" s="12" t="str"/>
    </x:row>
    <x:row r="10" ht="62" customHeight="1">
      <x:c r="A10" s="11" t="n">
        <x:v>1001</x:v>
      </x:c>
      <x:c r="B10" s="11" t="n">
        <x:v>1</x:v>
      </x:c>
      <x:c r="C10" s="10" t="n">
        <x:v>0</x:v>
      </x:c>
      <x:c r="D10" s="11" t="n">
        <x:v>1</x:v>
      </x:c>
      <x:c r="E10" s="10" t="n">
        <x:v>0</x:v>
      </x:c>
      <x:c r="F10" s="10" t="str">
        <x:v>立即结算</x:v>
      </x:c>
      <x:c r="G10" s="10" t="str">
        <x:v>范围</x:v>
      </x:c>
      <x:c r="H10" s="10" t="str">
        <x:v>扇形</x:v>
      </x:c>
      <x:c r="I10" s="10" t="str">
        <x:v>敌方</x:v>
      </x:c>
      <x:c r="J10" s="10" t="n">
        <x:v>22</x:v>
      </x:c>
      <x:c r="K10" s="10" t="n">
        <x:v>22</x:v>
      </x:c>
      <x:c r="L10" s="10" t="n">
        <x:v>0.5</x:v>
      </x:c>
      <x:c r="M10" s="10" t="n">
        <x:v>35</x:v>
      </x:c>
      <x:c r="N10" s="10" t="n">
        <x:v>40</x:v>
      </x:c>
      <x:c r="O10" s="10" t="n">
        <x:v>3</x:v>
      </x:c>
      <x:c r="P10" s="10" t="n">
        <x:v>1</x:v>
      </x:c>
      <x:c r="Q10" s="10" t="n">
        <x:v>1</x:v>
      </x:c>
      <x:c r="R10" s="10" t="n">
        <x:v>0</x:v>
      </x:c>
      <x:c r="S10" s="12" t="str">
        <x:v>4004 · 4004_冰霜扇击伤害：{"configId":4004,"stableId":"effect.5b2e0dd30abb4011a84f06b01bfe4979","target":0,"amount":60.0}
4008 · 4008_施加扇击减速：{"configId":4008,"stableId":"effect.a982e694958845c1bd2af1b286dbaac6","target":0,"buff":{"instanceID":56068},"buffScale":1.0}；{"configId":5008,"stableId":"buff.volley_slow","displayName":"扇击减速","duration":2.5,"interval":1.0,"periodicDamage":0.0,"stacking":0,"maxStacks":1,"dispellable":true,"sourcePolicy":1,"modifiers":[{"attribute":0,"operation":1,"value":-0.3499999940395355}],"controls":0,"moveSpeedPercent":0.0,"attackDamageFlat":0.0,"healthRegen":0.0}</x:v>
      </x:c>
      <x:c r="T10" s="12" t="str"/>
    </x:row>
  </x:sheetData>
  <x:pageMargins left="0.7" right="0.7" top="0.75" bottom="0.75" header="0.3" footer="0.3"/>
  <x:tableParts count="1">
    <x:tablePart xmlns:r="http://schemas.openxmlformats.org/officeDocument/2006/relationships" r:id="R6cd8a57adc1141c2"/>
  </x:tableParts>
</x:worksheet>
</file>